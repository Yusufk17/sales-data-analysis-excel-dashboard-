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YUSUFS FILE\"/>
    </mc:Choice>
  </mc:AlternateContent>
  <xr:revisionPtr revIDLastSave="0" documentId="13_ncr:1_{205052EC-884B-4FB3-A36F-8709052BBFE1}" xr6:coauthVersionLast="47" xr6:coauthVersionMax="47" xr10:uidLastSave="{00000000-0000-0000-0000-000000000000}"/>
  <bookViews>
    <workbookView xWindow="-108" yWindow="-108" windowWidth="23256" windowHeight="12456" xr2:uid="{8B1D8501-D003-4C85-BC0C-CF1469E88EAA}"/>
  </bookViews>
  <sheets>
    <sheet name="PIVOT TABLE" sheetId="3" r:id="rId1"/>
    <sheet name="DASHBOARD" sheetId="4" r:id="rId2"/>
    <sheet name="DATA" sheetId="1" r:id="rId3"/>
    <sheet name="ANALYSIS" sheetId="2" r:id="rId4"/>
  </sheet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3" i="2"/>
  <c r="B2" i="2"/>
  <c r="B1" i="2"/>
</calcChain>
</file>

<file path=xl/sharedStrings.xml><?xml version="1.0" encoding="utf-8"?>
<sst xmlns="http://schemas.openxmlformats.org/spreadsheetml/2006/main" count="53" uniqueCount="31">
  <si>
    <t xml:space="preserve">ORDER ID </t>
  </si>
  <si>
    <t>DATE</t>
  </si>
  <si>
    <t>PRODUCT</t>
  </si>
  <si>
    <t>CATEGORY</t>
  </si>
  <si>
    <t>CITY</t>
  </si>
  <si>
    <t>SALES</t>
  </si>
  <si>
    <t>QUANTITY</t>
  </si>
  <si>
    <t>PROFIT</t>
  </si>
  <si>
    <t>LAPTOP</t>
  </si>
  <si>
    <t>MOUSE</t>
  </si>
  <si>
    <t>CHAIR</t>
  </si>
  <si>
    <t>KEYBOARD</t>
  </si>
  <si>
    <t>TABLE</t>
  </si>
  <si>
    <t>HEADPHONE</t>
  </si>
  <si>
    <t>MONITOR</t>
  </si>
  <si>
    <t>FURNITURE</t>
  </si>
  <si>
    <t>ELECTRONICS</t>
  </si>
  <si>
    <t>NAGPUR</t>
  </si>
  <si>
    <t>PUNE</t>
  </si>
  <si>
    <t>MUMBAI</t>
  </si>
  <si>
    <t>TOTAL SALES</t>
  </si>
  <si>
    <t>TOTAL PROFIR</t>
  </si>
  <si>
    <t>TOTAL QUANTITY</t>
  </si>
  <si>
    <t>TOTAL ORDERS</t>
  </si>
  <si>
    <t>Grand Total</t>
  </si>
  <si>
    <t>PIVOT</t>
  </si>
  <si>
    <t>SALES DATA ANALYSIS DASHBOARD</t>
  </si>
  <si>
    <t xml:space="preserve">TOTAL SALES </t>
  </si>
  <si>
    <t>TOTAL ORDER</t>
  </si>
  <si>
    <t>TOTAL PROFIT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</si>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</sst>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65500</c:v>
                </c:pt>
                <c:pt idx="1">
                  <c:v>81500</c:v>
                </c:pt>
                <c:pt idx="2">
                  <c:v>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3-40A8-B71D-4F896FE43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809999"/>
        <c:axId val="1896442831"/>
      </c:barChart>
      <c:catAx>
        <c:axId val="20468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42831"/>
        <c:crosses val="autoZero"/>
        <c:auto val="1"/>
        <c:lblAlgn val="ctr"/>
        <c:lblOffset val="100"/>
        <c:noMultiLvlLbl val="0"/>
      </c:catAx>
      <c:valAx>
        <c:axId val="18964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DATA ANALYSIS EXCEL PROJECT.xlsx]PIVOT TABLE!PivotTable1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MUMBAI</c:v>
                </c:pt>
                <c:pt idx="1">
                  <c:v>NAGPUR</c:v>
                </c:pt>
                <c:pt idx="2">
                  <c:v>PUNE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65500</c:v>
                </c:pt>
                <c:pt idx="1">
                  <c:v>81500</c:v>
                </c:pt>
                <c:pt idx="2">
                  <c:v>17700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4-4599-BF7A-73DC6061E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6809999"/>
        <c:axId val="1896442831"/>
      </c:barChart>
      <c:catAx>
        <c:axId val="204680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442831"/>
        <c:crosses val="autoZero"/>
        <c:auto val="1"/>
        <c:lblAlgn val="ctr"/>
        <c:lblOffset val="100"/>
        <c:noMultiLvlLbl val="0"/>
      </c:catAx>
      <c:valAx>
        <c:axId val="18964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80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1</xdr:row>
      <xdr:rowOff>171450</xdr:rowOff>
    </xdr:from>
    <xdr:to>
      <xdr:col>13</xdr:col>
      <xdr:colOff>236220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391B7C-7904-436E-61C8-4A603328B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10</xdr:col>
      <xdr:colOff>601980</xdr:colOff>
      <xdr:row>21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13ADF3-46BC-4F78-AB0D-7903FAE1F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54.8119337963" createdVersion="8" refreshedVersion="8" minRefreshableVersion="3" recordCount="10" xr:uid="{E92E26DD-0D81-4A98-A876-CC61091BF3F1}">
  <cacheSource type="worksheet">
    <worksheetSource name="Table1"/>
  </cacheSource>
  <cacheFields count="8">
    <cacheField name="ORDER ID " numFmtId="0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6-01-01T00:00:00" maxDate="2026-01-21T00:00:00"/>
    </cacheField>
    <cacheField name="PRODUCT" numFmtId="0">
      <sharedItems count="7">
        <s v="LAPTOP"/>
        <s v="MOUSE"/>
        <s v="CHAIR"/>
        <s v="KEYBOARD"/>
        <s v="TABLE"/>
        <s v="HEADPHONE"/>
        <s v="MONITOR"/>
      </sharedItems>
    </cacheField>
    <cacheField name="CATEGORY" numFmtId="0">
      <sharedItems count="2">
        <s v="ELECTRONICS"/>
        <s v="FURNITURE"/>
      </sharedItems>
    </cacheField>
    <cacheField name="CITY" numFmtId="0">
      <sharedItems count="3">
        <s v="NAGPUR"/>
        <s v="PUNE"/>
        <s v="MUMBAI"/>
      </sharedItems>
    </cacheField>
    <cacheField name="SALES" numFmtId="0">
      <sharedItems containsSemiMixedTypes="0" containsString="0" containsNumber="1" containsInteger="1" minValue="1200" maxValue="55000"/>
    </cacheField>
    <cacheField name="QUANTITY" numFmtId="0">
      <sharedItems containsSemiMixedTypes="0" containsString="0" containsNumber="1" containsInteger="1" minValue="1" maxValue="3"/>
    </cacheField>
    <cacheField name="PROFIT" numFmtId="0">
      <sharedItems containsSemiMixedTypes="0" containsString="0" containsNumber="1" containsInteger="1" minValue="300" maxValue="5000" count="7">
        <n v="5000"/>
        <n v="300"/>
        <n v="1200"/>
        <n v="500"/>
        <n v="1500"/>
        <n v="600"/>
        <n v="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1"/>
    <d v="2026-01-01T00:00:00"/>
    <x v="0"/>
    <x v="0"/>
    <x v="0"/>
    <n v="55000"/>
    <n v="1"/>
    <x v="0"/>
  </r>
  <r>
    <n v="1002"/>
    <d v="2026-01-02T00:00:00"/>
    <x v="1"/>
    <x v="0"/>
    <x v="1"/>
    <n v="1200"/>
    <n v="3"/>
    <x v="1"/>
  </r>
  <r>
    <n v="1003"/>
    <d v="2026-01-03T00:00:00"/>
    <x v="2"/>
    <x v="1"/>
    <x v="2"/>
    <n v="7500"/>
    <n v="2"/>
    <x v="2"/>
  </r>
  <r>
    <n v="1004"/>
    <d v="2026-01-04T00:00:00"/>
    <x v="3"/>
    <x v="0"/>
    <x v="0"/>
    <n v="2500"/>
    <n v="2"/>
    <x v="3"/>
  </r>
  <r>
    <n v="1005"/>
    <d v="2026-01-07T00:00:00"/>
    <x v="4"/>
    <x v="1"/>
    <x v="1"/>
    <n v="9000"/>
    <n v="1"/>
    <x v="4"/>
  </r>
  <r>
    <n v="1006"/>
    <d v="2026-01-10T00:00:00"/>
    <x v="5"/>
    <x v="0"/>
    <x v="2"/>
    <n v="3000"/>
    <n v="2"/>
    <x v="5"/>
  </r>
  <r>
    <n v="1007"/>
    <d v="2026-01-12T00:00:00"/>
    <x v="6"/>
    <x v="0"/>
    <x v="0"/>
    <n v="15000"/>
    <n v="1"/>
    <x v="6"/>
  </r>
  <r>
    <n v="1008"/>
    <d v="2026-01-15T00:00:00"/>
    <x v="2"/>
    <x v="1"/>
    <x v="1"/>
    <n v="7500"/>
    <n v="1"/>
    <x v="2"/>
  </r>
  <r>
    <n v="1009"/>
    <d v="2026-01-18T00:00:00"/>
    <x v="0"/>
    <x v="0"/>
    <x v="2"/>
    <n v="55000"/>
    <n v="1"/>
    <x v="0"/>
  </r>
  <r>
    <n v="1010"/>
    <d v="2026-01-20T00:00:00"/>
    <x v="4"/>
    <x v="1"/>
    <x v="0"/>
    <n v="9000"/>
    <n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D107A-83A6-493D-B22A-2AE02EF1E31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IVOT">
  <location ref="A3:B7" firstHeaderRow="1" firstDataRow="1" firstDataCol="1"/>
  <pivotFields count="8">
    <pivotField showAll="0"/>
    <pivotField numFmtId="14" showAll="0"/>
    <pivotField showAll="0" sortType="ascending">
      <items count="8">
        <item x="2"/>
        <item x="5"/>
        <item x="3"/>
        <item x="0"/>
        <item x="6"/>
        <item x="1"/>
        <item x="4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>
      <items count="8">
        <item x="1"/>
        <item x="3"/>
        <item x="5"/>
        <item x="2"/>
        <item x="4"/>
        <item x="6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5" baseField="2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213419-846B-4893-9B9A-CAA0F34E4FB5}" name="Table1" displayName="Table1" ref="A1:H11" totalsRowShown="0" headerRowDxfId="0">
  <autoFilter ref="A1:H11" xr:uid="{3B213419-846B-4893-9B9A-CAA0F34E4FB5}"/>
  <tableColumns count="8">
    <tableColumn id="1" xr3:uid="{0E59FBE4-21AC-4AC9-89EA-42FB4A55C1C1}" name="ORDER ID "/>
    <tableColumn id="2" xr3:uid="{A3E70CBB-7F5D-4A88-A415-DD02AF37F1D0}" name="DATE" dataDxfId="1"/>
    <tableColumn id="3" xr3:uid="{3E66ABF1-C816-4A89-988F-8D6150B878E3}" name="PRODUCT"/>
    <tableColumn id="4" xr3:uid="{4847C1FA-9F98-481C-82B9-E17465151D81}" name="CATEGORY"/>
    <tableColumn id="5" xr3:uid="{E2E46E33-D9F5-4718-9293-38F85F90D5BE}" name="CITY"/>
    <tableColumn id="6" xr3:uid="{F2D14291-45BA-4957-8BD4-F24AFD682311}" name="SALES"/>
    <tableColumn id="7" xr3:uid="{65224651-9921-48A0-8080-13B2E1E6C8DA}" name="QUANTITY"/>
    <tableColumn id="8" xr3:uid="{14AD0976-3D8B-4282-BF34-DBCA92F2C13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6CFB-7970-467E-AFD7-79D6ACDB370E}">
  <dimension ref="A3:B7"/>
  <sheetViews>
    <sheetView tabSelected="1" workbookViewId="0">
      <selection activeCell="A4" sqref="A4"/>
    </sheetView>
  </sheetViews>
  <sheetFormatPr defaultRowHeight="14.4" x14ac:dyDescent="0.3"/>
  <cols>
    <col min="1" max="1" width="10.77734375" bestFit="1" customWidth="1"/>
    <col min="2" max="2" width="13.44140625" bestFit="1" customWidth="1"/>
  </cols>
  <sheetData>
    <row r="3" spans="1:2" x14ac:dyDescent="0.3">
      <c r="A3" s="3" t="s">
        <v>25</v>
      </c>
      <c r="B3" t="s">
        <v>30</v>
      </c>
    </row>
    <row r="4" spans="1:2" x14ac:dyDescent="0.3">
      <c r="A4" s="4" t="s">
        <v>19</v>
      </c>
      <c r="B4" s="5">
        <v>65500</v>
      </c>
    </row>
    <row r="5" spans="1:2" x14ac:dyDescent="0.3">
      <c r="A5" s="4" t="s">
        <v>17</v>
      </c>
      <c r="B5" s="5">
        <v>81500</v>
      </c>
    </row>
    <row r="6" spans="1:2" x14ac:dyDescent="0.3">
      <c r="A6" s="4" t="s">
        <v>18</v>
      </c>
      <c r="B6" s="5">
        <v>17700</v>
      </c>
    </row>
    <row r="7" spans="1:2" x14ac:dyDescent="0.3">
      <c r="A7" s="4" t="s">
        <v>24</v>
      </c>
      <c r="B7" s="5">
        <v>164700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9EF99-91BE-4254-AA34-7E884B12A3EF}">
  <dimension ref="A1:K3"/>
  <sheetViews>
    <sheetView workbookViewId="0">
      <selection activeCell="I26" sqref="I26"/>
    </sheetView>
  </sheetViews>
  <sheetFormatPr defaultRowHeight="14.4" x14ac:dyDescent="0.3"/>
  <cols>
    <col min="1" max="1" width="11.5546875" customWidth="1"/>
    <col min="4" max="4" width="12.77734375" bestFit="1" customWidth="1"/>
    <col min="7" max="7" width="15.5546875" bestFit="1" customWidth="1"/>
    <col min="10" max="10" width="12.5546875" bestFit="1" customWidth="1"/>
  </cols>
  <sheetData>
    <row r="1" spans="1:11" x14ac:dyDescent="0.3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">
      <c r="A3" t="s">
        <v>27</v>
      </c>
      <c r="B3">
        <v>164700</v>
      </c>
      <c r="D3" t="s">
        <v>29</v>
      </c>
      <c r="E3">
        <v>18800</v>
      </c>
      <c r="G3" t="s">
        <v>22</v>
      </c>
      <c r="H3">
        <v>16</v>
      </c>
      <c r="J3" t="s">
        <v>28</v>
      </c>
      <c r="K3">
        <v>10</v>
      </c>
    </row>
  </sheetData>
  <mergeCells count="1">
    <mergeCell ref="A1:K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28CD9-58A2-4EDA-AE24-0E5B43B336CE}">
  <dimension ref="A1:H11"/>
  <sheetViews>
    <sheetView workbookViewId="0">
      <selection activeCell="A2" sqref="A2"/>
    </sheetView>
  </sheetViews>
  <sheetFormatPr defaultRowHeight="14.4" x14ac:dyDescent="0.3"/>
  <cols>
    <col min="1" max="1" width="11.33203125" customWidth="1"/>
    <col min="2" max="2" width="10.33203125" bestFit="1" customWidth="1"/>
    <col min="3" max="3" width="11.44140625" bestFit="1" customWidth="1"/>
    <col min="4" max="4" width="12.33203125" bestFit="1" customWidth="1"/>
    <col min="5" max="5" width="8.44140625" bestFit="1" customWidth="1"/>
    <col min="6" max="6" width="8" customWidth="1"/>
    <col min="7" max="7" width="11.6640625" customWidth="1"/>
    <col min="8" max="8" width="8.8867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>
        <v>1001</v>
      </c>
      <c r="B2" s="1">
        <v>46023</v>
      </c>
      <c r="C2" t="s">
        <v>8</v>
      </c>
      <c r="D2" t="s">
        <v>16</v>
      </c>
      <c r="E2" t="s">
        <v>17</v>
      </c>
      <c r="F2">
        <v>55000</v>
      </c>
      <c r="G2">
        <v>1</v>
      </c>
      <c r="H2">
        <v>5000</v>
      </c>
    </row>
    <row r="3" spans="1:8" x14ac:dyDescent="0.3">
      <c r="A3">
        <v>1002</v>
      </c>
      <c r="B3" s="1">
        <v>46024</v>
      </c>
      <c r="C3" t="s">
        <v>9</v>
      </c>
      <c r="D3" t="s">
        <v>16</v>
      </c>
      <c r="E3" t="s">
        <v>18</v>
      </c>
      <c r="F3">
        <v>1200</v>
      </c>
      <c r="G3">
        <v>3</v>
      </c>
      <c r="H3">
        <v>300</v>
      </c>
    </row>
    <row r="4" spans="1:8" x14ac:dyDescent="0.3">
      <c r="A4">
        <v>1003</v>
      </c>
      <c r="B4" s="1">
        <v>46025</v>
      </c>
      <c r="C4" t="s">
        <v>10</v>
      </c>
      <c r="D4" t="s">
        <v>15</v>
      </c>
      <c r="E4" t="s">
        <v>19</v>
      </c>
      <c r="F4">
        <v>7500</v>
      </c>
      <c r="G4">
        <v>2</v>
      </c>
      <c r="H4">
        <v>1200</v>
      </c>
    </row>
    <row r="5" spans="1:8" x14ac:dyDescent="0.3">
      <c r="A5">
        <v>1004</v>
      </c>
      <c r="B5" s="1">
        <v>46026</v>
      </c>
      <c r="C5" t="s">
        <v>11</v>
      </c>
      <c r="D5" t="s">
        <v>16</v>
      </c>
      <c r="E5" t="s">
        <v>17</v>
      </c>
      <c r="F5">
        <v>2500</v>
      </c>
      <c r="G5">
        <v>2</v>
      </c>
      <c r="H5">
        <v>500</v>
      </c>
    </row>
    <row r="6" spans="1:8" x14ac:dyDescent="0.3">
      <c r="A6">
        <v>1005</v>
      </c>
      <c r="B6" s="1">
        <v>46029</v>
      </c>
      <c r="C6" t="s">
        <v>12</v>
      </c>
      <c r="D6" t="s">
        <v>15</v>
      </c>
      <c r="E6" t="s">
        <v>18</v>
      </c>
      <c r="F6">
        <v>9000</v>
      </c>
      <c r="G6">
        <v>1</v>
      </c>
      <c r="H6">
        <v>1500</v>
      </c>
    </row>
    <row r="7" spans="1:8" x14ac:dyDescent="0.3">
      <c r="A7">
        <v>1006</v>
      </c>
      <c r="B7" s="1">
        <v>46032</v>
      </c>
      <c r="C7" t="s">
        <v>13</v>
      </c>
      <c r="D7" t="s">
        <v>16</v>
      </c>
      <c r="E7" t="s">
        <v>19</v>
      </c>
      <c r="F7">
        <v>3000</v>
      </c>
      <c r="G7">
        <v>2</v>
      </c>
      <c r="H7">
        <v>600</v>
      </c>
    </row>
    <row r="8" spans="1:8" x14ac:dyDescent="0.3">
      <c r="A8">
        <v>1007</v>
      </c>
      <c r="B8" s="1">
        <v>46034</v>
      </c>
      <c r="C8" t="s">
        <v>14</v>
      </c>
      <c r="D8" t="s">
        <v>16</v>
      </c>
      <c r="E8" t="s">
        <v>17</v>
      </c>
      <c r="F8">
        <v>15000</v>
      </c>
      <c r="G8">
        <v>1</v>
      </c>
      <c r="H8">
        <v>2000</v>
      </c>
    </row>
    <row r="9" spans="1:8" x14ac:dyDescent="0.3">
      <c r="A9">
        <v>1008</v>
      </c>
      <c r="B9" s="1">
        <v>46037</v>
      </c>
      <c r="C9" t="s">
        <v>10</v>
      </c>
      <c r="D9" t="s">
        <v>15</v>
      </c>
      <c r="E9" t="s">
        <v>18</v>
      </c>
      <c r="F9">
        <v>7500</v>
      </c>
      <c r="G9">
        <v>1</v>
      </c>
      <c r="H9">
        <v>1200</v>
      </c>
    </row>
    <row r="10" spans="1:8" x14ac:dyDescent="0.3">
      <c r="A10">
        <v>1009</v>
      </c>
      <c r="B10" s="1">
        <v>46040</v>
      </c>
      <c r="C10" t="s">
        <v>8</v>
      </c>
      <c r="D10" t="s">
        <v>16</v>
      </c>
      <c r="E10" t="s">
        <v>19</v>
      </c>
      <c r="F10">
        <v>55000</v>
      </c>
      <c r="G10">
        <v>1</v>
      </c>
      <c r="H10">
        <v>5000</v>
      </c>
    </row>
    <row r="11" spans="1:8" x14ac:dyDescent="0.3">
      <c r="A11">
        <v>1010</v>
      </c>
      <c r="B11" s="1">
        <v>46042</v>
      </c>
      <c r="C11" t="s">
        <v>12</v>
      </c>
      <c r="D11" t="s">
        <v>15</v>
      </c>
      <c r="E11" t="s">
        <v>17</v>
      </c>
      <c r="F11">
        <v>9000</v>
      </c>
      <c r="G11">
        <v>2</v>
      </c>
      <c r="H11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AF2F-4138-4064-ABB8-4154982F4201}">
  <dimension ref="A1:B4"/>
  <sheetViews>
    <sheetView workbookViewId="0">
      <selection activeCell="B5" sqref="B5"/>
    </sheetView>
  </sheetViews>
  <sheetFormatPr defaultRowHeight="14.4" x14ac:dyDescent="0.3"/>
  <cols>
    <col min="1" max="1" width="15.5546875" bestFit="1" customWidth="1"/>
  </cols>
  <sheetData>
    <row r="1" spans="1:2" x14ac:dyDescent="0.3">
      <c r="A1" t="s">
        <v>20</v>
      </c>
      <c r="B1">
        <f>SUM(Table1[SALES])</f>
        <v>164700</v>
      </c>
    </row>
    <row r="2" spans="1:2" x14ac:dyDescent="0.3">
      <c r="A2" t="s">
        <v>21</v>
      </c>
      <c r="B2">
        <f>SUM(Table1[PROFIT])</f>
        <v>18800</v>
      </c>
    </row>
    <row r="3" spans="1:2" x14ac:dyDescent="0.3">
      <c r="A3" t="s">
        <v>22</v>
      </c>
      <c r="B3">
        <f>SUM(Table1[QUANTITY])</f>
        <v>16</v>
      </c>
    </row>
    <row r="4" spans="1:2" x14ac:dyDescent="0.3">
      <c r="A4" t="s">
        <v>23</v>
      </c>
      <c r="B4">
        <f>COUNT(Table1[[ORDER ID ]])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TABLE</vt:lpstr>
      <vt:lpstr>DASHBOARD</vt:lpstr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sabiya khan</dc:creator>
  <cp:lastModifiedBy>sabiya khan</cp:lastModifiedBy>
  <dcterms:created xsi:type="dcterms:W3CDTF">2026-08-20T13:06:07Z</dcterms:created>
  <dcterms:modified xsi:type="dcterms:W3CDTF">2026-08-20T16:08:11Z</dcterms:modified>
</cp:coreProperties>
</file>